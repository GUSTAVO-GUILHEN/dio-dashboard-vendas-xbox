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/>
  <bookViews>
    <workbookView xWindow="0" yWindow="0" windowWidth="28800" windowHeight="12435" tabRatio="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52511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<sst xmlns="http://schemas.openxmlformats.org/spreadsheetml/2006/main" count="2022" uniqueCount="324">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</sst>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a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[dashboard_xbox_gustavo.xlsx]C̳álculos!tbl_annual_total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250752"/>
        <c:axId val="66255648"/>
      </c:barChart>
      <c:catAx>
        <c:axId val="6625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255648"/>
        <c:crosses val="autoZero"/>
        <c:auto val="1"/>
        <c:lblAlgn val="ctr"/>
        <c:lblOffset val="100"/>
        <c:noMultiLvlLbl val="0"/>
      </c:catAx>
      <c:valAx>
        <c:axId val="6625564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625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[dashboard_xbox_gustavo.xlsx]C̳álculos!tbl_annual_total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258368"/>
        <c:axId val="66257280"/>
      </c:barChart>
      <c:catAx>
        <c:axId val="66258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257280"/>
        <c:crosses val="autoZero"/>
        <c:auto val="1"/>
        <c:lblAlgn val="ctr"/>
        <c:lblOffset val="100"/>
        <c:noMultiLvlLbl val="0"/>
      </c:catAx>
      <c:valAx>
        <c:axId val="6625728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625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7.png"/><Relationship Id="rId7" Type="http://schemas.openxmlformats.org/officeDocument/2006/relationships/chart" Target="../charts/chart2.xml"/><Relationship Id="rId2" Type="http://schemas.openxmlformats.org/officeDocument/2006/relationships/image" Target="../media/image6.png"/><Relationship Id="rId1" Type="http://schemas.openxmlformats.org/officeDocument/2006/relationships/image" Target="../media/image9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xmlns="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xmlns="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xmlns="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xmlns="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xmlns="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xmlns="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xmlns="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xmlns="" id="{876A8D1C-2608-8C6C-89D4-BAA9C31F449C}"/>
            </a:ext>
          </a:extLst>
        </xdr:cNvPr>
        <xdr:cNvGrpSpPr/>
      </xdr:nvGrpSpPr>
      <xdr:grpSpPr>
        <a:xfrm>
          <a:off x="2386012" y="1176338"/>
          <a:ext cx="5205413" cy="159781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xmlns="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xmlns="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xmlns="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xmlns="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xmlns="" id="{A41F36A7-AB9C-196A-291F-D90799A3B69C}"/>
            </a:ext>
          </a:extLst>
        </xdr:cNvPr>
        <xdr:cNvGrpSpPr/>
      </xdr:nvGrpSpPr>
      <xdr:grpSpPr>
        <a:xfrm>
          <a:off x="8698706" y="1176338"/>
          <a:ext cx="5269706" cy="152161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xmlns="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xmlns="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xmlns="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xmlns="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xmlns="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xmlns="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xmlns="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xmlns="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xmlns="" id="{08565BD9-58FC-B6E1-F4E6-6B45AE50E033}"/>
            </a:ext>
          </a:extLst>
        </xdr:cNvPr>
        <xdr:cNvGrpSpPr/>
      </xdr:nvGrpSpPr>
      <xdr:grpSpPr>
        <a:xfrm>
          <a:off x="2374106" y="3093244"/>
          <a:ext cx="11620500" cy="3136106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xmlns="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xmlns="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xmlns="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xmlns="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2019300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xmlns="" id="{F5379FD9-A036-8872-5B5B-6762AA6D8744}"/>
            </a:ext>
          </a:extLst>
        </xdr:cNvPr>
        <xdr:cNvSpPr/>
      </xdr:nvSpPr>
      <xdr:spPr>
        <a:xfrm>
          <a:off x="109656" y="997084"/>
          <a:ext cx="190964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</a:t>
          </a:r>
          <a:r>
            <a:rPr lang="pt-BR" sz="1100" b="1" kern="1200" baseline="0"/>
            <a:t> vindo, Gustavo</a:t>
          </a:r>
          <a:endParaRPr lang="pt-BR" sz="1100" b="1" kern="1200"/>
        </a:p>
      </xdr:txBody>
    </xdr:sp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Subscription Type 1">
              <a:extLst>
                <a:ext uri="{FF2B5EF4-FFF2-40B4-BE49-F238E27FC236}">
                  <a16:creationId xmlns:a16="http://schemas.microsoft.com/office/drawing/2014/main" xmlns="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39976"/>
              <a:ext cx="1782536" cy="2247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35" name="Agrupar 27">
          <a:extLst>
            <a:ext uri="{FF2B5EF4-FFF2-40B4-BE49-F238E27FC236}">
              <a16:creationId xmlns:a16="http://schemas.microsoft.com/office/drawing/2014/main" xmlns="" id="{A41F36A7-AB9C-196A-291F-D90799A3B69C}"/>
            </a:ext>
          </a:extLst>
        </xdr:cNvPr>
        <xdr:cNvGrpSpPr/>
      </xdr:nvGrpSpPr>
      <xdr:grpSpPr>
        <a:xfrm>
          <a:off x="8698706" y="1176338"/>
          <a:ext cx="5269706" cy="1521619"/>
          <a:chOff x="7534275" y="1247775"/>
          <a:chExt cx="4655344" cy="1571625"/>
        </a:xfrm>
      </xdr:grpSpPr>
      <xdr:grpSp>
        <xdr:nvGrpSpPr>
          <xdr:cNvPr id="36" name="Agrupar 19">
            <a:extLst>
              <a:ext uri="{FF2B5EF4-FFF2-40B4-BE49-F238E27FC236}">
                <a16:creationId xmlns:a16="http://schemas.microsoft.com/office/drawing/2014/main" xmlns="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40" name="Retângulo: Cantos Arredondados 20">
              <a:extLst>
                <a:ext uri="{FF2B5EF4-FFF2-40B4-BE49-F238E27FC236}">
                  <a16:creationId xmlns:a16="http://schemas.microsoft.com/office/drawing/2014/main" xmlns="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41" name="Retângulo: Cantos Arredondados 21">
              <a:extLst>
                <a:ext uri="{FF2B5EF4-FFF2-40B4-BE49-F238E27FC236}">
                  <a16:creationId xmlns:a16="http://schemas.microsoft.com/office/drawing/2014/main" xmlns="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3600" kern="1200">
                  <a:solidFill>
                    <a:srgbClr val="22C55E"/>
                  </a:solidFill>
                </a:rPr>
                <a:t> R$ 940,00 </a:t>
              </a:r>
            </a:p>
          </xdr:txBody>
        </xdr:sp>
        <xdr:sp macro="" textlink="">
          <xdr:nvSpPr>
            <xdr:cNvPr id="42" name="Retângulo: Cantos Superiores Arredondados 23">
              <a:extLst>
                <a:ext uri="{FF2B5EF4-FFF2-40B4-BE49-F238E27FC236}">
                  <a16:creationId xmlns:a16="http://schemas.microsoft.com/office/drawing/2014/main" xmlns="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37" name="Agrupar 24">
            <a:extLst>
              <a:ext uri="{FF2B5EF4-FFF2-40B4-BE49-F238E27FC236}">
                <a16:creationId xmlns:a16="http://schemas.microsoft.com/office/drawing/2014/main" xmlns="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38" name="Imagem 37">
              <a:extLst>
                <a:ext uri="{FF2B5EF4-FFF2-40B4-BE49-F238E27FC236}">
                  <a16:creationId xmlns:a16="http://schemas.microsoft.com/office/drawing/2014/main" xmlns="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9" name="Gráfico 26">
              <a:extLst>
                <a:ext uri="{FF2B5EF4-FFF2-40B4-BE49-F238E27FC236}">
                  <a16:creationId xmlns:a16="http://schemas.microsoft.com/office/drawing/2014/main" xmlns="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xmlns="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43" name="Agrupar 29">
          <a:extLst>
            <a:ext uri="{FF2B5EF4-FFF2-40B4-BE49-F238E27FC236}">
              <a16:creationId xmlns:a16="http://schemas.microsoft.com/office/drawing/2014/main" xmlns="" id="{08565BD9-58FC-B6E1-F4E6-6B45AE50E033}"/>
            </a:ext>
          </a:extLst>
        </xdr:cNvPr>
        <xdr:cNvGrpSpPr/>
      </xdr:nvGrpSpPr>
      <xdr:grpSpPr>
        <a:xfrm>
          <a:off x="2374106" y="3093244"/>
          <a:ext cx="11620500" cy="3136106"/>
          <a:chOff x="2083594" y="3178969"/>
          <a:chExt cx="10298906" cy="3298031"/>
        </a:xfrm>
      </xdr:grpSpPr>
      <xdr:grpSp>
        <xdr:nvGrpSpPr>
          <xdr:cNvPr id="44" name="Agrupar 13">
            <a:extLst>
              <a:ext uri="{FF2B5EF4-FFF2-40B4-BE49-F238E27FC236}">
                <a16:creationId xmlns:a16="http://schemas.microsoft.com/office/drawing/2014/main" xmlns="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46" name="Retângulo: Cantos Arredondados 7">
              <a:extLst>
                <a:ext uri="{FF2B5EF4-FFF2-40B4-BE49-F238E27FC236}">
                  <a16:creationId xmlns:a16="http://schemas.microsoft.com/office/drawing/2014/main" xmlns="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47" name="Gráfico 46">
              <a:extLst>
                <a:ext uri="{FF2B5EF4-FFF2-40B4-BE49-F238E27FC236}">
                  <a16:creationId xmlns:a16="http://schemas.microsoft.com/office/drawing/2014/main" xmlns="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  <xdr:sp macro="" textlink="">
        <xdr:nvSpPr>
          <xdr:cNvPr id="45" name="Retângulo: Cantos Superiores Arredondados 28">
            <a:extLst>
              <a:ext uri="{FF2B5EF4-FFF2-40B4-BE49-F238E27FC236}">
                <a16:creationId xmlns:a16="http://schemas.microsoft.com/office/drawing/2014/main" xmlns="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600075</xdr:colOff>
      <xdr:row>0</xdr:row>
      <xdr:rowOff>161925</xdr:rowOff>
    </xdr:from>
    <xdr:to>
      <xdr:col>0</xdr:col>
      <xdr:colOff>1371600</xdr:colOff>
      <xdr:row>3</xdr:row>
      <xdr:rowOff>28575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xmlns="" id="{EAED0B10-9B9B-4C87-AA2F-D30DEB957E50}"/>
            </a:ext>
          </a:extLst>
        </xdr:cNvPr>
        <xdr:cNvSpPr/>
      </xdr:nvSpPr>
      <xdr:spPr>
        <a:xfrm>
          <a:off x="600075" y="161925"/>
          <a:ext cx="771525" cy="647700"/>
        </a:xfrm>
        <a:prstGeom prst="ellipse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ustavo%20G\Desktop\0120950e-64c8-4092-a257-ba22ed198c69%20(Salvo%20automaticamente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5650.439435069442" createdVersion="8" refreshedVersion="8" minRefreshableVersion="3" recordCount="295">
  <cacheSource type="worksheet">
    <worksheetSource name="Tabela1" r:id="rId2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bl_easeasonpass_total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annual_total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 chartFormat="10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9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57175"/>
  <slicer name="Subscription Type 1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id="1" name="Tabela1" displayName="Tabela1" ref="A1:M296" totalsRowShown="0" dataDxfId="13">
  <autoFilter ref="A1:M296"/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6"/>
  <sheetViews>
    <sheetView showGridLines="0" topLeftCell="A16" workbookViewId="0">
      <selection activeCell="E36" sqref="E36"/>
    </sheetView>
  </sheetViews>
  <sheetFormatPr defaultRowHeight="14.25"/>
  <cols>
    <col min="2" max="2" width="18" customWidth="1"/>
    <col min="3" max="3" width="35.125" customWidth="1"/>
    <col min="4" max="4" width="30.625" bestFit="1" customWidth="1"/>
    <col min="5" max="5" width="12.12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s="20" t="s">
        <v>317</v>
      </c>
      <c r="C3" s="20"/>
      <c r="D3" s="20"/>
      <c r="E3" s="20"/>
      <c r="F3" s="20"/>
    </row>
    <row r="6" spans="2:6" ht="15">
      <c r="B6" t="s">
        <v>318</v>
      </c>
    </row>
    <row r="7" spans="2:6" ht="15">
      <c r="B7" t="s">
        <v>320</v>
      </c>
    </row>
    <row r="9" spans="2:6">
      <c r="B9" s="12" t="s">
        <v>16</v>
      </c>
      <c r="C9" t="s">
        <v>24</v>
      </c>
    </row>
    <row r="11" spans="2:6">
      <c r="B11" s="12" t="s">
        <v>309</v>
      </c>
      <c r="C11" t="s">
        <v>319</v>
      </c>
    </row>
    <row r="12" spans="2:6">
      <c r="B12" s="14" t="s">
        <v>23</v>
      </c>
      <c r="C12" s="13">
        <v>217</v>
      </c>
    </row>
    <row r="13" spans="2:6">
      <c r="B13" s="14" t="s">
        <v>19</v>
      </c>
      <c r="C13" s="13">
        <v>1537</v>
      </c>
    </row>
    <row r="14" spans="2:6">
      <c r="B14" s="14" t="s">
        <v>310</v>
      </c>
      <c r="C14" s="13">
        <v>1754</v>
      </c>
    </row>
    <row r="17" spans="2:5">
      <c r="B17" s="14" t="s">
        <v>321</v>
      </c>
    </row>
    <row r="19" spans="2:5">
      <c r="B19" s="12" t="s">
        <v>16</v>
      </c>
      <c r="C19" t="s">
        <v>24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 s="15">
        <v>0</v>
      </c>
    </row>
    <row r="23" spans="2:5">
      <c r="B23" s="14" t="s">
        <v>26</v>
      </c>
      <c r="C23" s="15">
        <v>0</v>
      </c>
    </row>
    <row r="24" spans="2:5">
      <c r="B24" s="14" t="s">
        <v>18</v>
      </c>
      <c r="C24" s="15">
        <v>600</v>
      </c>
    </row>
    <row r="25" spans="2:5">
      <c r="B25" s="14" t="s">
        <v>310</v>
      </c>
      <c r="C25" s="15">
        <v>600</v>
      </c>
      <c r="E25" s="17">
        <f>GETPIVOTDATA("EA Play Season Pass
Price",$B$21)</f>
        <v>600</v>
      </c>
    </row>
    <row r="28" spans="2:5">
      <c r="B28" s="14" t="s">
        <v>322</v>
      </c>
    </row>
    <row r="30" spans="2:5">
      <c r="B30" s="12" t="s">
        <v>16</v>
      </c>
      <c r="C30" t="s">
        <v>24</v>
      </c>
    </row>
    <row r="32" spans="2:5">
      <c r="B32" s="12" t="s">
        <v>309</v>
      </c>
      <c r="C32" t="s">
        <v>311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540</v>
      </c>
    </row>
    <row r="35" spans="2:5">
      <c r="B35" s="14" t="s">
        <v>18</v>
      </c>
      <c r="C35" s="13">
        <v>400</v>
      </c>
    </row>
    <row r="36" spans="2:5">
      <c r="B36" s="14" t="s">
        <v>310</v>
      </c>
      <c r="C36" s="13">
        <v>940</v>
      </c>
      <c r="E36" s="17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36"/>
  <sheetViews>
    <sheetView showGridLines="0" showRowColHeaders="0" tabSelected="1" zoomScaleNormal="100" workbookViewId="0">
      <selection activeCell="Y20" sqref="Y20"/>
    </sheetView>
  </sheetViews>
  <sheetFormatPr defaultRowHeight="14.25"/>
  <cols>
    <col min="1" max="1" width="27.375" style="4" customWidth="1"/>
    <col min="2" max="2" width="3.625" customWidth="1"/>
    <col min="12" max="12" width="6.6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2026-05-07T14:13:04Z</dcterms:created>
  <dcterms:modified xsi:type="dcterms:W3CDTF">2026-05-07T14:21:51Z</dcterms:modified>
</cp:coreProperties>
</file>